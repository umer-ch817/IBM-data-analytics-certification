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<sst xmlns="http://schemas.openxmlformats.org/spreadsheetml/2006/main" count="165" uniqueCount="32">
  <si>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</si>
  <si>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</si>
  <si>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</si>
  <si>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</si>
  <si>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</si>
  <si>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</si>
  <si>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</si>
  <si>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</si>
  <si>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</si>
  <si>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</si>
  <si>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</si>
  <si>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</si>
  <si>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</si>
  <si>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</si>
  <si>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</si>
  <si>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</si>
  <si>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</si>
  <si>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</si>
  <si>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</si>
  <si>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</si>
  <si>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</si>
  <si>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</si>
  <si>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</si>
  <si>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</si>
  <si>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</si>
  <si>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</si>
  <si>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</si>
  <si>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</si>
  <si>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</si>
  <si>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 of Equipment Count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</si>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</sst>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7.7851388889" refreshedBy="umer2" recordCount="54">
  <cacheSource type="worksheet">
    <worksheetSource name="Table2"/>
  </cacheSource>
  <cacheFields count="3">
    <cacheField name="Department" numFmtId="0">
      <sharedItems containsBlank="1" count="13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  <m/>
      </sharedItems>
    </cacheField>
    <cacheField name="Equipment Class" numFmtId="0">
      <sharedItems containsBlank="1" count="15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  <m/>
      </sharedItems>
    </cacheField>
    <cacheField name="Equipment Count" numFmtId="0">
      <sharedItems containsSemiMixedTypes="0" containsString="0" containsNumber="1" minValue="1" maxValue="1582" count="30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  <n v="1582"/>
        <n v="32.2857142857143"/>
        <n v="4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  <r>
    <x v="12"/>
    <x v="14"/>
    <x v="27"/>
  </r>
  <r>
    <x v="12"/>
    <x v="14"/>
    <x v="28"/>
  </r>
  <r>
    <x v="12"/>
    <x v="14"/>
    <x v="29"/>
  </r>
  <r>
    <x v="12"/>
    <x v="14"/>
    <x v="21"/>
  </r>
  <r>
    <x v="12"/>
    <x v="1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7" firstHeaderRow="1" firstDataRow="1" firstDataCol="1"/>
  <pivotFields count="3">
    <pivotField axis="axisRow" compact="0" sortType="descending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0"/>
  </rowFields>
  <rowItems count="14">
    <i>
      <x v="12"/>
    </i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6"/>
    </i>
    <i>
      <x v="4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6" firstHeaderRow="1" firstDataRow="1" firstDataCol="2"/>
  <pivotFields count="3">
    <pivotField axis="axisRow" compact="0" sortType="descending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sd="0" x="1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2">
    <field x="0"/>
    <field x="1"/>
  </rowFields>
  <rowItems count="23">
    <i>
      <x v="12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6"/>
    </i>
    <i>
      <x v="4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2" firstHeaderRow="1" firstDataRow="1" firstDataCol="2"/>
  <pivotFields count="3">
    <pivotField axis="axisRow" compact="0" sortType="descending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16">
        <item sd="0" x="0"/>
        <item sd="0" x="1"/>
        <item sd="0" x="2"/>
        <item sd="0" x="3"/>
        <item sd="0" x="4"/>
        <item sd="0" x="5"/>
        <item x="6"/>
        <item sd="0" x="7"/>
        <item sd="0" x="8"/>
        <item sd="0" x="9"/>
        <item sd="0" x="10"/>
        <item sd="0" x="11"/>
        <item sd="0" x="12"/>
        <item sd="0" x="13"/>
        <item sd="0" x="14"/>
        <item t="default"/>
      </items>
    </pivotField>
    <pivotField dataField="1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2">
    <field x="1"/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 r="1">
      <x v="5"/>
    </i>
    <i r="1">
      <x v="11"/>
    </i>
    <i r="1">
      <x v="10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C55" totalsRowShown="0">
  <autoFilter xmlns:etc="http://www.wps.cn/officeDocument/2017/etCustomData" ref="A1:C55" etc:filterBottomFollowUsedRange="0"/>
  <tableColumns count="3">
    <tableColumn id="1" name="Department"/>
    <tableColumn id="2" name="Equipment Class"/>
    <tableColumn id="3" name="Equipment Count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B56" sqref="B56"/>
    </sheetView>
  </sheetViews>
  <sheetFormatPr defaultColWidth="9" defaultRowHeight="14.5" outlineLevelCol="2"/>
  <cols>
    <col min="1" max="1" width="29.4272727272727" customWidth="1"/>
    <col min="2" max="2" width="26.1363636363636" customWidth="1"/>
    <col min="3" max="3" width="16.572727272727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23</v>
      </c>
    </row>
    <row r="5" spans="1:3">
      <c r="A5" t="s">
        <v>7</v>
      </c>
      <c r="B5" t="s">
        <v>6</v>
      </c>
      <c r="C5">
        <v>2</v>
      </c>
    </row>
    <row r="6" spans="1:3">
      <c r="A6" t="s">
        <v>8</v>
      </c>
      <c r="B6" t="s">
        <v>4</v>
      </c>
      <c r="C6">
        <v>3</v>
      </c>
    </row>
    <row r="7" spans="1:3">
      <c r="A7" t="s">
        <v>8</v>
      </c>
      <c r="B7" t="s">
        <v>9</v>
      </c>
      <c r="C7">
        <v>2</v>
      </c>
    </row>
    <row r="8" spans="1:3">
      <c r="A8" t="s">
        <v>8</v>
      </c>
      <c r="B8" t="s">
        <v>10</v>
      </c>
      <c r="C8">
        <v>1</v>
      </c>
    </row>
    <row r="9" spans="1:3">
      <c r="A9" t="s">
        <v>11</v>
      </c>
      <c r="B9" t="s">
        <v>9</v>
      </c>
      <c r="C9">
        <v>2</v>
      </c>
    </row>
    <row r="10" spans="1:3">
      <c r="A10" t="s">
        <v>11</v>
      </c>
      <c r="B10" t="s">
        <v>12</v>
      </c>
      <c r="C10">
        <v>42</v>
      </c>
    </row>
    <row r="11" spans="1:3">
      <c r="A11" t="s">
        <v>11</v>
      </c>
      <c r="B11" t="s">
        <v>5</v>
      </c>
      <c r="C11">
        <v>1</v>
      </c>
    </row>
    <row r="12" spans="1:3">
      <c r="A12" t="s">
        <v>11</v>
      </c>
      <c r="B12" t="s">
        <v>6</v>
      </c>
      <c r="C12">
        <v>11</v>
      </c>
    </row>
    <row r="13" spans="1:3">
      <c r="A13" t="s">
        <v>13</v>
      </c>
      <c r="B13" t="s">
        <v>5</v>
      </c>
      <c r="C13">
        <v>1</v>
      </c>
    </row>
    <row r="14" spans="1:3">
      <c r="A14" t="s">
        <v>14</v>
      </c>
      <c r="B14" t="s">
        <v>15</v>
      </c>
      <c r="C14">
        <v>9</v>
      </c>
    </row>
    <row r="15" spans="1:3">
      <c r="A15" t="s">
        <v>14</v>
      </c>
      <c r="B15" t="s">
        <v>5</v>
      </c>
      <c r="C15">
        <v>27</v>
      </c>
    </row>
    <row r="16" spans="1:3">
      <c r="A16" t="s">
        <v>14</v>
      </c>
      <c r="B16" t="s">
        <v>4</v>
      </c>
      <c r="C16">
        <v>24</v>
      </c>
    </row>
    <row r="17" spans="1:3">
      <c r="A17" t="s">
        <v>14</v>
      </c>
      <c r="B17" t="s">
        <v>9</v>
      </c>
      <c r="C17">
        <v>1</v>
      </c>
    </row>
    <row r="18" spans="1:3">
      <c r="A18" t="s">
        <v>14</v>
      </c>
      <c r="B18" t="s">
        <v>6</v>
      </c>
      <c r="C18">
        <v>48</v>
      </c>
    </row>
    <row r="19" spans="1:3">
      <c r="A19" t="s">
        <v>16</v>
      </c>
      <c r="B19" t="s">
        <v>9</v>
      </c>
      <c r="C19">
        <v>1</v>
      </c>
    </row>
    <row r="20" spans="1:3">
      <c r="A20" t="s">
        <v>17</v>
      </c>
      <c r="B20" t="s">
        <v>6</v>
      </c>
      <c r="C20">
        <v>6</v>
      </c>
    </row>
    <row r="21" spans="1:3">
      <c r="A21" t="s">
        <v>17</v>
      </c>
      <c r="B21" t="s">
        <v>4</v>
      </c>
      <c r="C21">
        <v>5</v>
      </c>
    </row>
    <row r="22" spans="1:3">
      <c r="A22" t="s">
        <v>17</v>
      </c>
      <c r="B22" t="s">
        <v>5</v>
      </c>
      <c r="C22">
        <v>2</v>
      </c>
    </row>
    <row r="23" spans="1:3">
      <c r="A23" t="s">
        <v>17</v>
      </c>
      <c r="B23" t="s">
        <v>9</v>
      </c>
      <c r="C23">
        <v>15</v>
      </c>
    </row>
    <row r="24" spans="1:3">
      <c r="A24" t="s">
        <v>17</v>
      </c>
      <c r="B24" t="s">
        <v>18</v>
      </c>
      <c r="C24">
        <v>7</v>
      </c>
    </row>
    <row r="25" spans="1:3">
      <c r="A25" t="s">
        <v>19</v>
      </c>
      <c r="B25" t="s">
        <v>20</v>
      </c>
      <c r="C25">
        <v>20</v>
      </c>
    </row>
    <row r="26" spans="1:3">
      <c r="A26" t="s">
        <v>19</v>
      </c>
      <c r="B26" t="s">
        <v>6</v>
      </c>
      <c r="C26">
        <v>1</v>
      </c>
    </row>
    <row r="27" spans="1:3">
      <c r="A27" t="s">
        <v>19</v>
      </c>
      <c r="B27" t="s">
        <v>10</v>
      </c>
      <c r="C27">
        <v>1</v>
      </c>
    </row>
    <row r="28" spans="1:3">
      <c r="A28" t="s">
        <v>19</v>
      </c>
      <c r="B28" t="s">
        <v>4</v>
      </c>
      <c r="C28">
        <v>3</v>
      </c>
    </row>
    <row r="29" spans="1:3">
      <c r="A29" t="s">
        <v>19</v>
      </c>
      <c r="B29" t="s">
        <v>5</v>
      </c>
      <c r="C29">
        <v>1</v>
      </c>
    </row>
    <row r="30" spans="1:3">
      <c r="A30" t="s">
        <v>19</v>
      </c>
      <c r="B30" t="s">
        <v>21</v>
      </c>
      <c r="C30">
        <v>8</v>
      </c>
    </row>
    <row r="31" spans="1:3">
      <c r="A31" t="s">
        <v>19</v>
      </c>
      <c r="B31" t="s">
        <v>22</v>
      </c>
      <c r="C31">
        <v>4</v>
      </c>
    </row>
    <row r="32" spans="1:3">
      <c r="A32" t="s">
        <v>19</v>
      </c>
      <c r="B32" t="s">
        <v>23</v>
      </c>
      <c r="C32">
        <v>46</v>
      </c>
    </row>
    <row r="33" spans="1:3">
      <c r="A33" t="s">
        <v>19</v>
      </c>
      <c r="B33" t="s">
        <v>24</v>
      </c>
      <c r="C33">
        <v>1</v>
      </c>
    </row>
    <row r="34" spans="1:3">
      <c r="A34" t="s">
        <v>25</v>
      </c>
      <c r="B34" t="s">
        <v>23</v>
      </c>
      <c r="C34">
        <v>1</v>
      </c>
    </row>
    <row r="35" spans="1:3">
      <c r="A35" t="s">
        <v>25</v>
      </c>
      <c r="B35" t="s">
        <v>9</v>
      </c>
      <c r="C35">
        <v>1</v>
      </c>
    </row>
    <row r="36" spans="1:3">
      <c r="A36" t="s">
        <v>25</v>
      </c>
      <c r="B36" t="s">
        <v>5</v>
      </c>
      <c r="C36">
        <v>1</v>
      </c>
    </row>
    <row r="37" spans="1:3">
      <c r="A37" t="s">
        <v>25</v>
      </c>
      <c r="B37" t="s">
        <v>6</v>
      </c>
      <c r="C37">
        <v>2</v>
      </c>
    </row>
    <row r="38" spans="1:3">
      <c r="A38" t="s">
        <v>26</v>
      </c>
      <c r="B38" t="s">
        <v>4</v>
      </c>
      <c r="C38">
        <v>1</v>
      </c>
    </row>
    <row r="39" spans="1:3">
      <c r="A39" t="s">
        <v>26</v>
      </c>
      <c r="B39" t="s">
        <v>15</v>
      </c>
      <c r="C39">
        <v>1</v>
      </c>
    </row>
    <row r="40" spans="1:3">
      <c r="A40" t="s">
        <v>26</v>
      </c>
      <c r="B40" t="s">
        <v>9</v>
      </c>
      <c r="C40">
        <v>11</v>
      </c>
    </row>
    <row r="41" spans="1:3">
      <c r="A41" t="s">
        <v>26</v>
      </c>
      <c r="B41" t="s">
        <v>5</v>
      </c>
      <c r="C41">
        <v>3</v>
      </c>
    </row>
    <row r="42" spans="1:3">
      <c r="A42" t="s">
        <v>27</v>
      </c>
      <c r="B42" t="s">
        <v>4</v>
      </c>
      <c r="C42">
        <v>93</v>
      </c>
    </row>
    <row r="43" spans="1:3">
      <c r="A43" t="s">
        <v>27</v>
      </c>
      <c r="B43" t="s">
        <v>12</v>
      </c>
      <c r="C43">
        <v>248</v>
      </c>
    </row>
    <row r="44" spans="1:3">
      <c r="A44" t="s">
        <v>27</v>
      </c>
      <c r="B44" t="s">
        <v>28</v>
      </c>
      <c r="C44">
        <v>379</v>
      </c>
    </row>
    <row r="45" spans="1:3">
      <c r="A45" t="s">
        <v>27</v>
      </c>
      <c r="B45" t="s">
        <v>5</v>
      </c>
      <c r="C45">
        <v>53</v>
      </c>
    </row>
    <row r="46" spans="1:3">
      <c r="A46" t="s">
        <v>27</v>
      </c>
      <c r="B46" t="s">
        <v>9</v>
      </c>
      <c r="C46">
        <v>32</v>
      </c>
    </row>
    <row r="47" spans="1:3">
      <c r="A47" t="s">
        <v>27</v>
      </c>
      <c r="B47" t="s">
        <v>10</v>
      </c>
      <c r="C47">
        <v>98</v>
      </c>
    </row>
    <row r="48" spans="1:3">
      <c r="A48" t="s">
        <v>27</v>
      </c>
      <c r="B48" t="s">
        <v>18</v>
      </c>
      <c r="C48">
        <v>276</v>
      </c>
    </row>
    <row r="49" spans="1:3">
      <c r="A49" t="s">
        <v>27</v>
      </c>
      <c r="B49" t="s">
        <v>15</v>
      </c>
      <c r="C49">
        <v>5</v>
      </c>
    </row>
    <row r="50" spans="1:3">
      <c r="A50" t="s">
        <v>27</v>
      </c>
      <c r="B50" t="s">
        <v>6</v>
      </c>
      <c r="C50">
        <v>37</v>
      </c>
    </row>
    <row r="51" spans="1:3">
      <c r="C51">
        <f>SUM(C2:C50)</f>
        <v>1582</v>
      </c>
    </row>
    <row r="52" spans="1:3">
      <c r="C52">
        <f>AVERAGE(C2:C50)</f>
        <v>32.2857142857143</v>
      </c>
    </row>
    <row r="53" spans="1:3">
      <c r="C53">
        <f>COUNT(C1:C50)</f>
        <v>49</v>
      </c>
    </row>
    <row r="54" spans="1:3">
      <c r="C54">
        <f>MAX(C2:C50)</f>
        <v>379</v>
      </c>
    </row>
    <row r="55" spans="1:3">
      <c r="C55">
        <f>MIN(C2:C50)</f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7"/>
  <sheetViews>
    <sheetView workbookViewId="0">
      <selection activeCell="B6" sqref="B6"/>
    </sheetView>
  </sheetViews>
  <sheetFormatPr defaultColWidth="8.72727272727273" defaultRowHeight="14.5" outlineLevelCol="1"/>
  <cols>
    <col min="1" max="1" width="30.1818181818182"/>
    <col min="2" max="2" width="24.1818181818182"/>
  </cols>
  <sheetData>
    <row r="3" spans="1:2">
      <c r="A3" t="s">
        <v>0</v>
      </c>
      <c r="B3" t="s">
        <v>29</v>
      </c>
    </row>
    <row r="4" spans="1:2">
      <c r="A4" t="s">
        <v>30</v>
      </c>
      <c r="B4">
        <v>2043.28571428571</v>
      </c>
    </row>
    <row r="5" spans="1:2">
      <c r="A5" t="s">
        <v>27</v>
      </c>
      <c r="B5">
        <v>1221</v>
      </c>
    </row>
    <row r="6" spans="1:2">
      <c r="A6" t="s">
        <v>14</v>
      </c>
      <c r="B6">
        <v>109</v>
      </c>
    </row>
    <row r="7" spans="1:2">
      <c r="A7" t="s">
        <v>19</v>
      </c>
      <c r="B7">
        <v>85</v>
      </c>
    </row>
    <row r="8" spans="1:2">
      <c r="A8" t="s">
        <v>11</v>
      </c>
      <c r="B8">
        <v>56</v>
      </c>
    </row>
    <row r="9" spans="1:2">
      <c r="A9" t="s">
        <v>3</v>
      </c>
      <c r="B9">
        <v>45</v>
      </c>
    </row>
    <row r="10" spans="1:2">
      <c r="A10" t="s">
        <v>17</v>
      </c>
      <c r="B10">
        <v>35</v>
      </c>
    </row>
    <row r="11" spans="1:2">
      <c r="A11" t="s">
        <v>26</v>
      </c>
      <c r="B11">
        <v>16</v>
      </c>
    </row>
    <row r="12" spans="1:2">
      <c r="A12" t="s">
        <v>8</v>
      </c>
      <c r="B12">
        <v>6</v>
      </c>
    </row>
    <row r="13" spans="1:2">
      <c r="A13" t="s">
        <v>25</v>
      </c>
      <c r="B13">
        <v>5</v>
      </c>
    </row>
    <row r="14" spans="1:2">
      <c r="A14" t="s">
        <v>7</v>
      </c>
      <c r="B14">
        <v>2</v>
      </c>
    </row>
    <row r="15" spans="1:2">
      <c r="A15" t="s">
        <v>16</v>
      </c>
      <c r="B15">
        <v>1</v>
      </c>
    </row>
    <row r="16" spans="1:2">
      <c r="A16" t="s">
        <v>13</v>
      </c>
      <c r="B16">
        <v>1</v>
      </c>
    </row>
    <row r="17" spans="1:2">
      <c r="A17" t="s">
        <v>31</v>
      </c>
      <c r="B17">
        <v>3625.28571428571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6"/>
  <sheetViews>
    <sheetView workbookViewId="0">
      <selection activeCell="A4" sqref="A4"/>
    </sheetView>
  </sheetViews>
  <sheetFormatPr defaultColWidth="8.72727272727273" defaultRowHeight="14.5" outlineLevelCol="2"/>
  <cols>
    <col min="1" max="1" width="30.1818181818182"/>
    <col min="2" max="2" width="26.7272727272727"/>
    <col min="3" max="3" width="24.1818181818182"/>
  </cols>
  <sheetData>
    <row r="3" spans="1:3">
      <c r="A3" t="s">
        <v>0</v>
      </c>
      <c r="B3" t="s">
        <v>1</v>
      </c>
      <c r="C3" t="s">
        <v>29</v>
      </c>
    </row>
    <row r="4" spans="1:3">
      <c r="A4" t="s">
        <v>30</v>
      </c>
      <c r="B4"/>
      <c r="C4">
        <v>2043.28571428571</v>
      </c>
    </row>
    <row r="5" spans="1:3">
      <c r="A5" t="s">
        <v>27</v>
      </c>
      <c r="B5"/>
      <c r="C5">
        <v>1221</v>
      </c>
    </row>
    <row r="6" spans="1:3">
      <c r="B6" t="s">
        <v>4</v>
      </c>
      <c r="C6">
        <v>93</v>
      </c>
    </row>
    <row r="7" spans="1:3">
      <c r="B7" t="s">
        <v>5</v>
      </c>
      <c r="C7">
        <v>53</v>
      </c>
    </row>
    <row r="8" spans="1:3">
      <c r="B8" t="s">
        <v>6</v>
      </c>
      <c r="C8">
        <v>37</v>
      </c>
    </row>
    <row r="9" spans="1:3">
      <c r="B9" t="s">
        <v>9</v>
      </c>
      <c r="C9">
        <v>32</v>
      </c>
    </row>
    <row r="10" spans="1:3">
      <c r="B10" t="s">
        <v>10</v>
      </c>
      <c r="C10">
        <v>98</v>
      </c>
    </row>
    <row r="11" spans="1:3">
      <c r="B11" t="s">
        <v>12</v>
      </c>
      <c r="C11">
        <v>248</v>
      </c>
    </row>
    <row r="12" spans="1:3">
      <c r="B12" t="s">
        <v>15</v>
      </c>
      <c r="C12">
        <v>5</v>
      </c>
    </row>
    <row r="13" spans="1:3">
      <c r="B13" t="s">
        <v>18</v>
      </c>
      <c r="C13">
        <v>276</v>
      </c>
    </row>
    <row r="14" spans="1:3">
      <c r="B14" t="s">
        <v>28</v>
      </c>
      <c r="C14">
        <v>379</v>
      </c>
    </row>
    <row r="15" spans="1:3">
      <c r="A15" t="s">
        <v>14</v>
      </c>
      <c r="B15"/>
      <c r="C15">
        <v>109</v>
      </c>
    </row>
    <row r="16" spans="1:3">
      <c r="A16" t="s">
        <v>19</v>
      </c>
      <c r="B16"/>
      <c r="C16">
        <v>85</v>
      </c>
    </row>
    <row r="17" spans="1:3">
      <c r="A17" t="s">
        <v>11</v>
      </c>
      <c r="B17"/>
      <c r="C17">
        <v>56</v>
      </c>
    </row>
    <row r="18" spans="1:3">
      <c r="A18" t="s">
        <v>3</v>
      </c>
      <c r="B18"/>
      <c r="C18">
        <v>45</v>
      </c>
    </row>
    <row r="19" spans="1:3">
      <c r="A19" t="s">
        <v>17</v>
      </c>
      <c r="B19"/>
      <c r="C19">
        <v>35</v>
      </c>
    </row>
    <row r="20" spans="1:3">
      <c r="A20" t="s">
        <v>26</v>
      </c>
      <c r="B20"/>
      <c r="C20">
        <v>16</v>
      </c>
    </row>
    <row r="21" spans="1:3">
      <c r="A21" t="s">
        <v>8</v>
      </c>
      <c r="B21"/>
      <c r="C21">
        <v>6</v>
      </c>
    </row>
    <row r="22" spans="1:3">
      <c r="A22" t="s">
        <v>25</v>
      </c>
      <c r="B22"/>
      <c r="C22">
        <v>5</v>
      </c>
    </row>
    <row r="23" spans="1:3">
      <c r="A23" t="s">
        <v>7</v>
      </c>
      <c r="B23"/>
      <c r="C23">
        <v>2</v>
      </c>
    </row>
    <row r="24" spans="1:3">
      <c r="A24" t="s">
        <v>16</v>
      </c>
      <c r="B24"/>
      <c r="C24">
        <v>1</v>
      </c>
    </row>
    <row r="25" spans="1:3">
      <c r="A25" t="s">
        <v>13</v>
      </c>
      <c r="B25"/>
      <c r="C25">
        <v>1</v>
      </c>
    </row>
    <row r="26" spans="1:3">
      <c r="A26" t="s">
        <v>31</v>
      </c>
      <c r="B26"/>
      <c r="C26">
        <v>3625.28571428571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2"/>
  <sheetViews>
    <sheetView workbookViewId="0">
      <selection activeCell="A21" sqref="A21"/>
    </sheetView>
  </sheetViews>
  <sheetFormatPr defaultColWidth="8.72727272727273" defaultRowHeight="14.5" outlineLevelCol="2"/>
  <cols>
    <col min="1" max="1" width="30.1818181818182"/>
    <col min="2" max="2" width="19.1818181818182"/>
    <col min="3" max="3" width="24.1818181818182"/>
  </cols>
  <sheetData>
    <row r="3" spans="1:3">
      <c r="A3" t="s">
        <v>1</v>
      </c>
      <c r="B3" t="s">
        <v>0</v>
      </c>
      <c r="C3" t="s">
        <v>29</v>
      </c>
    </row>
    <row r="4" spans="1:3">
      <c r="A4" t="s">
        <v>4</v>
      </c>
      <c r="B4"/>
      <c r="C4">
        <v>150</v>
      </c>
    </row>
    <row r="5" spans="1:3">
      <c r="A5" t="s">
        <v>5</v>
      </c>
      <c r="B5"/>
      <c r="C5">
        <v>90</v>
      </c>
    </row>
    <row r="6" spans="1:3">
      <c r="A6" t="s">
        <v>6</v>
      </c>
      <c r="B6"/>
      <c r="C6">
        <v>130</v>
      </c>
    </row>
    <row r="7" spans="1:3">
      <c r="A7" t="s">
        <v>9</v>
      </c>
      <c r="B7"/>
      <c r="C7">
        <v>65</v>
      </c>
    </row>
    <row r="8" spans="1:3">
      <c r="A8" t="s">
        <v>10</v>
      </c>
      <c r="B8"/>
      <c r="C8">
        <v>100</v>
      </c>
    </row>
    <row r="9" spans="1:3">
      <c r="A9" t="s">
        <v>12</v>
      </c>
      <c r="B9"/>
      <c r="C9">
        <v>290</v>
      </c>
    </row>
    <row r="10" spans="1:3">
      <c r="A10" t="s">
        <v>15</v>
      </c>
      <c r="B10"/>
      <c r="C10">
        <v>15</v>
      </c>
    </row>
    <row r="11" spans="1:3">
      <c r="B11" t="s">
        <v>14</v>
      </c>
      <c r="C11">
        <v>9</v>
      </c>
    </row>
    <row r="12" spans="1:3">
      <c r="B12" t="s">
        <v>27</v>
      </c>
      <c r="C12">
        <v>5</v>
      </c>
    </row>
    <row r="13" spans="1:3">
      <c r="B13" t="s">
        <v>26</v>
      </c>
      <c r="C13">
        <v>1</v>
      </c>
    </row>
    <row r="14" spans="1:3">
      <c r="A14" t="s">
        <v>18</v>
      </c>
      <c r="B14"/>
      <c r="C14">
        <v>283</v>
      </c>
    </row>
    <row r="15" spans="1:3">
      <c r="A15" t="s">
        <v>20</v>
      </c>
      <c r="B15"/>
      <c r="C15">
        <v>20</v>
      </c>
    </row>
    <row r="16" spans="1:3">
      <c r="A16" t="s">
        <v>21</v>
      </c>
      <c r="B16"/>
      <c r="C16">
        <v>8</v>
      </c>
    </row>
    <row r="17" spans="1:3">
      <c r="A17" t="s">
        <v>22</v>
      </c>
      <c r="B17"/>
      <c r="C17">
        <v>4</v>
      </c>
    </row>
    <row r="18" spans="1:3">
      <c r="A18" t="s">
        <v>23</v>
      </c>
      <c r="B18"/>
      <c r="C18">
        <v>47</v>
      </c>
    </row>
    <row r="19" spans="1:3">
      <c r="A19" t="s">
        <v>24</v>
      </c>
      <c r="B19"/>
      <c r="C19">
        <v>1</v>
      </c>
    </row>
    <row r="20" spans="1:3">
      <c r="A20" t="s">
        <v>28</v>
      </c>
      <c r="B20"/>
      <c r="C20">
        <v>379</v>
      </c>
    </row>
    <row r="21" spans="1:3">
      <c r="A21" t="s">
        <v>30</v>
      </c>
      <c r="B21"/>
      <c r="C21">
        <v>2043.28571428571</v>
      </c>
    </row>
    <row r="22" spans="1:3">
      <c r="A22" t="s">
        <v>31</v>
      </c>
      <c r="B22"/>
      <c r="C22">
        <v>3625.28571428571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Umer Hameed</cp:lastModifiedBy>
  <dcterms:created xsi:type="dcterms:W3CDTF">2020-09-01T17:18:00Z</dcterms:created>
  <dcterms:modified xsi:type="dcterms:W3CDTF">2026-08-23T14:09:23Z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55C36CB489B64B6B87BB6ABFC7166B08_13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